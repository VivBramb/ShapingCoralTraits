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My Dropbox\RTE_reaction norms\"/>
    </mc:Choice>
  </mc:AlternateContent>
  <xr:revisionPtr revIDLastSave="0" documentId="13_ncr:1_{33A8BD90-8FE0-4964-8D4D-8DBC21CF8276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Sheet2" sheetId="2" r:id="rId1"/>
    <sheet name="all" sheetId="1" r:id="rId2"/>
  </sheets>
  <definedNames>
    <definedName name="_xlnm._FilterDatabase" localSheetId="1" hidden="1">all!$A$1:$D$41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9" i="1" l="1"/>
  <c r="H29" i="1" s="1"/>
  <c r="E26" i="1"/>
  <c r="H26" i="1" s="1"/>
  <c r="E23" i="1"/>
  <c r="H23" i="1" s="1"/>
  <c r="E20" i="1"/>
  <c r="H20" i="1" s="1"/>
  <c r="E17" i="1"/>
  <c r="H17" i="1" s="1"/>
  <c r="E14" i="1"/>
  <c r="H14" i="1" s="1"/>
  <c r="E8" i="1"/>
  <c r="H8" i="1" s="1"/>
  <c r="L25" i="1" s="1"/>
  <c r="E11" i="1"/>
  <c r="H11" i="1" s="1"/>
  <c r="E2" i="1"/>
  <c r="E5" i="1"/>
  <c r="H5" i="1" s="1"/>
  <c r="F5" i="1"/>
  <c r="F8" i="1"/>
  <c r="F11" i="1"/>
  <c r="F14" i="1"/>
  <c r="F17" i="1"/>
  <c r="F20" i="1"/>
  <c r="F23" i="1"/>
  <c r="F26" i="1"/>
  <c r="F29" i="1"/>
  <c r="F2" i="1"/>
  <c r="N2" i="1"/>
  <c r="N24" i="1" s="1"/>
  <c r="N3" i="1"/>
  <c r="N4" i="1"/>
  <c r="N25" i="1" s="1"/>
  <c r="N5" i="1"/>
  <c r="N6" i="1"/>
  <c r="M25" i="1" s="1"/>
  <c r="N7" i="1"/>
  <c r="M24" i="1" s="1"/>
  <c r="N8" i="1"/>
  <c r="N9" i="1"/>
  <c r="N10" i="1"/>
  <c r="N11" i="1"/>
  <c r="K25" i="1" l="1"/>
  <c r="H2" i="1"/>
  <c r="L24" i="1" l="1"/>
  <c r="K24" i="1"/>
</calcChain>
</file>

<file path=xl/sharedStrings.xml><?xml version="1.0" encoding="utf-8"?>
<sst xmlns="http://schemas.openxmlformats.org/spreadsheetml/2006/main" count="82" uniqueCount="18">
  <si>
    <t>Rack</t>
  </si>
  <si>
    <t>W</t>
  </si>
  <si>
    <t>Rep</t>
  </si>
  <si>
    <t>D</t>
  </si>
  <si>
    <t>A</t>
  </si>
  <si>
    <t>B</t>
  </si>
  <si>
    <t>C</t>
  </si>
  <si>
    <t>rate</t>
  </si>
  <si>
    <t>mean</t>
  </si>
  <si>
    <t>sd</t>
  </si>
  <si>
    <t>day</t>
  </si>
  <si>
    <t>Mean73</t>
  </si>
  <si>
    <t>Mean10</t>
  </si>
  <si>
    <t>sd10</t>
  </si>
  <si>
    <t>sd73</t>
  </si>
  <si>
    <t xml:space="preserve"> </t>
  </si>
  <si>
    <t>Site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</si>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</sst>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4385F-5FA9-4A77-9686-9D6A3CC863B5}">
  <dimension ref="A1:F11"/>
  <sheetViews>
    <sheetView tabSelected="1" workbookViewId="0">
      <selection activeCell="I9" sqref="I9"/>
    </sheetView>
  </sheetViews>
  <sheetFormatPr defaultRowHeight="14.4" x14ac:dyDescent="0.3"/>
  <sheetData>
    <row r="1" spans="1:6" x14ac:dyDescent="0.3">
      <c r="A1" s="3" t="s">
        <v>0</v>
      </c>
      <c r="B1" s="3" t="s">
        <v>16</v>
      </c>
      <c r="C1" s="3" t="s">
        <v>2</v>
      </c>
      <c r="D1" s="3" t="s">
        <v>1</v>
      </c>
      <c r="E1" s="3" t="s">
        <v>3</v>
      </c>
      <c r="F1" s="3"/>
    </row>
    <row r="2" spans="1:6" x14ac:dyDescent="0.3">
      <c r="A2" s="3">
        <v>1</v>
      </c>
      <c r="B2" s="3" t="s">
        <v>17</v>
      </c>
      <c r="C2" s="3" t="s">
        <v>3</v>
      </c>
      <c r="D2" s="3">
        <v>9.8000000000000004E-2</v>
      </c>
      <c r="E2" s="3">
        <v>10</v>
      </c>
      <c r="F2" s="3"/>
    </row>
    <row r="3" spans="1:6" x14ac:dyDescent="0.3">
      <c r="A3" s="3">
        <v>2</v>
      </c>
      <c r="B3" s="3" t="s">
        <v>17</v>
      </c>
      <c r="C3" s="3" t="s">
        <v>3</v>
      </c>
      <c r="D3" s="3">
        <v>0.309</v>
      </c>
      <c r="E3" s="3">
        <v>10</v>
      </c>
      <c r="F3" s="3"/>
    </row>
    <row r="4" spans="1:6" x14ac:dyDescent="0.3">
      <c r="A4" s="3">
        <v>3</v>
      </c>
      <c r="B4" s="3" t="s">
        <v>3</v>
      </c>
      <c r="C4" s="3" t="s">
        <v>3</v>
      </c>
      <c r="D4" s="3">
        <v>7.4999999999999997E-2</v>
      </c>
      <c r="E4" s="3">
        <v>10</v>
      </c>
      <c r="F4" s="3"/>
    </row>
    <row r="5" spans="1:6" x14ac:dyDescent="0.3">
      <c r="A5" s="3">
        <v>4</v>
      </c>
      <c r="B5" s="3" t="s">
        <v>17</v>
      </c>
      <c r="C5" s="3" t="s">
        <v>3</v>
      </c>
      <c r="D5" s="3">
        <v>0.34</v>
      </c>
      <c r="E5" s="3">
        <v>10</v>
      </c>
      <c r="F5" s="3"/>
    </row>
    <row r="6" spans="1:6" x14ac:dyDescent="0.3">
      <c r="A6" s="3">
        <v>5</v>
      </c>
      <c r="B6" s="3" t="s">
        <v>3</v>
      </c>
      <c r="C6" s="3" t="s">
        <v>3</v>
      </c>
      <c r="D6" s="3">
        <v>1.2E-2</v>
      </c>
      <c r="E6" s="3">
        <v>10</v>
      </c>
      <c r="F6" s="3"/>
    </row>
    <row r="7" spans="1:6" x14ac:dyDescent="0.3">
      <c r="A7" s="3">
        <v>6</v>
      </c>
      <c r="B7" s="3" t="s">
        <v>17</v>
      </c>
      <c r="C7" s="3" t="s">
        <v>3</v>
      </c>
      <c r="D7" s="3">
        <v>0.23100000000000001</v>
      </c>
      <c r="E7" s="3">
        <v>10</v>
      </c>
      <c r="F7" s="3"/>
    </row>
    <row r="8" spans="1:6" x14ac:dyDescent="0.3">
      <c r="A8" s="3">
        <v>7</v>
      </c>
      <c r="B8" s="3" t="s">
        <v>3</v>
      </c>
      <c r="C8" s="3" t="s">
        <v>3</v>
      </c>
      <c r="D8" s="3">
        <v>0.24099999999999999</v>
      </c>
      <c r="E8" s="3">
        <v>10</v>
      </c>
      <c r="F8" s="3"/>
    </row>
    <row r="9" spans="1:6" x14ac:dyDescent="0.3">
      <c r="A9" s="3">
        <v>8</v>
      </c>
      <c r="B9" s="3" t="s">
        <v>3</v>
      </c>
      <c r="C9" s="3" t="s">
        <v>3</v>
      </c>
      <c r="D9" s="3">
        <v>0.33100000000000002</v>
      </c>
      <c r="E9" s="3">
        <v>10</v>
      </c>
      <c r="F9" s="3"/>
    </row>
    <row r="10" spans="1:6" x14ac:dyDescent="0.3">
      <c r="A10" s="3">
        <v>9</v>
      </c>
      <c r="B10" s="3" t="s">
        <v>17</v>
      </c>
      <c r="C10" s="3" t="s">
        <v>3</v>
      </c>
      <c r="D10" s="3">
        <v>0.56000000000000005</v>
      </c>
      <c r="E10" s="3">
        <v>10</v>
      </c>
      <c r="F10" s="3"/>
    </row>
    <row r="11" spans="1:6" x14ac:dyDescent="0.3">
      <c r="A11" s="3">
        <v>10</v>
      </c>
      <c r="B11" s="3" t="s">
        <v>3</v>
      </c>
      <c r="C11" s="3" t="s">
        <v>3</v>
      </c>
      <c r="D11" s="3">
        <v>7.6999999999999999E-2</v>
      </c>
      <c r="E11" s="3">
        <v>10</v>
      </c>
      <c r="F1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1"/>
  <sheetViews>
    <sheetView zoomScale="85" zoomScaleNormal="85" workbookViewId="0">
      <selection activeCell="M14" sqref="M14"/>
    </sheetView>
  </sheetViews>
  <sheetFormatPr defaultRowHeight="14.4" x14ac:dyDescent="0.3"/>
  <cols>
    <col min="18" max="19" width="10.77734375" bestFit="1" customWidth="1"/>
  </cols>
  <sheetData>
    <row r="1" spans="1:19" x14ac:dyDescent="0.3">
      <c r="A1" t="s">
        <v>0</v>
      </c>
      <c r="B1" t="s">
        <v>2</v>
      </c>
      <c r="C1" t="s">
        <v>1</v>
      </c>
      <c r="D1" t="s">
        <v>3</v>
      </c>
      <c r="E1" t="s">
        <v>8</v>
      </c>
      <c r="F1" t="s">
        <v>9</v>
      </c>
      <c r="G1" t="s">
        <v>10</v>
      </c>
      <c r="H1" t="s">
        <v>7</v>
      </c>
      <c r="J1" t="s">
        <v>0</v>
      </c>
      <c r="K1" t="s">
        <v>2</v>
      </c>
      <c r="L1" t="s">
        <v>1</v>
      </c>
      <c r="M1" t="s">
        <v>3</v>
      </c>
    </row>
    <row r="2" spans="1:19" x14ac:dyDescent="0.3">
      <c r="A2" s="2">
        <v>1</v>
      </c>
      <c r="B2" s="2" t="s">
        <v>4</v>
      </c>
      <c r="C2" s="2">
        <v>0.96199999999999974</v>
      </c>
      <c r="D2" s="2">
        <v>120</v>
      </c>
      <c r="E2" s="2">
        <f>AVERAGE(C2:C4)</f>
        <v>0.95833333333333315</v>
      </c>
      <c r="F2" s="2">
        <f>_xlfn.STDEV.P(C2:C4)</f>
        <v>4.294440850939988E-2</v>
      </c>
      <c r="G2" s="2">
        <v>73</v>
      </c>
      <c r="H2" s="2">
        <f>E2/G2</f>
        <v>1.3127853881278536E-2</v>
      </c>
      <c r="J2" s="2">
        <v>1</v>
      </c>
      <c r="K2" s="2" t="s">
        <v>3</v>
      </c>
      <c r="L2" s="2">
        <v>9.8000000000000004E-2</v>
      </c>
      <c r="M2" s="2">
        <v>10</v>
      </c>
      <c r="N2" s="2">
        <f>L2/M2</f>
        <v>9.7999999999999997E-3</v>
      </c>
      <c r="R2" s="1"/>
      <c r="S2" s="1"/>
    </row>
    <row r="3" spans="1:19" x14ac:dyDescent="0.3">
      <c r="A3" s="2">
        <v>1</v>
      </c>
      <c r="B3" s="2" t="s">
        <v>5</v>
      </c>
      <c r="C3" s="2">
        <v>1.0089999999999999</v>
      </c>
      <c r="D3" s="2">
        <v>120</v>
      </c>
      <c r="E3" s="2"/>
      <c r="F3" s="2"/>
      <c r="G3" s="2"/>
      <c r="H3" s="2"/>
      <c r="J3" s="2">
        <v>2</v>
      </c>
      <c r="K3" s="2" t="s">
        <v>3</v>
      </c>
      <c r="L3" s="2">
        <v>0.309</v>
      </c>
      <c r="M3" s="2">
        <v>10</v>
      </c>
      <c r="N3" s="2">
        <f t="shared" ref="N3:N11" si="0">L3/M3</f>
        <v>3.09E-2</v>
      </c>
    </row>
    <row r="4" spans="1:19" x14ac:dyDescent="0.3">
      <c r="A4" s="2">
        <v>1</v>
      </c>
      <c r="B4" s="2" t="s">
        <v>6</v>
      </c>
      <c r="C4" s="2">
        <v>0.90400000000000003</v>
      </c>
      <c r="D4" s="2">
        <v>120</v>
      </c>
      <c r="E4" s="2"/>
      <c r="F4" s="2"/>
      <c r="G4" s="2"/>
      <c r="H4" s="2"/>
      <c r="J4">
        <v>3</v>
      </c>
      <c r="K4" t="s">
        <v>3</v>
      </c>
      <c r="L4">
        <v>7.4999999999999997E-2</v>
      </c>
      <c r="M4">
        <v>10</v>
      </c>
      <c r="N4">
        <f t="shared" si="0"/>
        <v>7.4999999999999997E-3</v>
      </c>
    </row>
    <row r="5" spans="1:19" x14ac:dyDescent="0.3">
      <c r="A5" s="2">
        <v>2</v>
      </c>
      <c r="B5" s="2" t="s">
        <v>4</v>
      </c>
      <c r="C5" s="2">
        <v>1.0210000000000008</v>
      </c>
      <c r="D5" s="2">
        <v>120</v>
      </c>
      <c r="E5" s="2">
        <f>AVERAGE(C5:C7)</f>
        <v>1.5733333333333335</v>
      </c>
      <c r="F5" s="2">
        <f t="shared" ref="F5:F29" si="1">_xlfn.STDEV.P(C5:C7)</f>
        <v>0.75370831375421499</v>
      </c>
      <c r="G5" s="2">
        <v>73</v>
      </c>
      <c r="H5" s="2">
        <f t="shared" ref="H5:H29" si="2">E5/G5</f>
        <v>2.1552511415525118E-2</v>
      </c>
      <c r="J5" s="2">
        <v>4</v>
      </c>
      <c r="K5" s="2" t="s">
        <v>3</v>
      </c>
      <c r="L5" s="2">
        <v>0.34</v>
      </c>
      <c r="M5" s="2">
        <v>10</v>
      </c>
      <c r="N5" s="2">
        <f t="shared" si="0"/>
        <v>3.4000000000000002E-2</v>
      </c>
    </row>
    <row r="6" spans="1:19" x14ac:dyDescent="0.3">
      <c r="A6" s="2">
        <v>2</v>
      </c>
      <c r="B6" s="2" t="s">
        <v>5</v>
      </c>
      <c r="C6" s="2">
        <v>1.06</v>
      </c>
      <c r="D6" s="2">
        <v>120</v>
      </c>
      <c r="E6" s="2"/>
      <c r="F6" s="2"/>
      <c r="G6" s="2"/>
      <c r="H6" s="2"/>
      <c r="J6">
        <v>5</v>
      </c>
      <c r="K6" t="s">
        <v>3</v>
      </c>
      <c r="L6">
        <v>1.2E-2</v>
      </c>
      <c r="M6">
        <v>10</v>
      </c>
      <c r="N6">
        <f t="shared" si="0"/>
        <v>1.2000000000000001E-3</v>
      </c>
    </row>
    <row r="7" spans="1:19" x14ac:dyDescent="0.3">
      <c r="A7" s="2">
        <v>2</v>
      </c>
      <c r="B7" s="2" t="s">
        <v>6</v>
      </c>
      <c r="C7" s="2">
        <v>2.6389999999999998</v>
      </c>
      <c r="D7" s="2">
        <v>120</v>
      </c>
      <c r="E7" s="2"/>
      <c r="F7" s="2"/>
      <c r="G7" s="2"/>
      <c r="H7" s="2"/>
      <c r="J7" s="2">
        <v>6</v>
      </c>
      <c r="K7" s="2" t="s">
        <v>3</v>
      </c>
      <c r="L7" s="2">
        <v>0.23100000000000001</v>
      </c>
      <c r="M7" s="2">
        <v>10</v>
      </c>
      <c r="N7" s="2">
        <f t="shared" si="0"/>
        <v>2.3100000000000002E-2</v>
      </c>
    </row>
    <row r="8" spans="1:19" x14ac:dyDescent="0.3">
      <c r="A8">
        <v>3</v>
      </c>
      <c r="B8" t="s">
        <v>4</v>
      </c>
      <c r="C8">
        <v>0.18100000000000094</v>
      </c>
      <c r="D8">
        <v>120</v>
      </c>
      <c r="E8">
        <f>AVERAGE(C8:C10)</f>
        <v>2.0169999999999999</v>
      </c>
      <c r="F8">
        <f t="shared" si="1"/>
        <v>1.3112965593894719</v>
      </c>
      <c r="G8">
        <v>71</v>
      </c>
      <c r="H8">
        <f t="shared" si="2"/>
        <v>2.840845070422535E-2</v>
      </c>
      <c r="J8">
        <v>7</v>
      </c>
      <c r="K8" t="s">
        <v>3</v>
      </c>
      <c r="L8">
        <v>0.24099999999999999</v>
      </c>
      <c r="M8">
        <v>10</v>
      </c>
      <c r="N8">
        <f t="shared" si="0"/>
        <v>2.41E-2</v>
      </c>
    </row>
    <row r="9" spans="1:19" x14ac:dyDescent="0.3">
      <c r="A9">
        <v>3</v>
      </c>
      <c r="B9" t="s">
        <v>5</v>
      </c>
      <c r="C9">
        <v>3.1609999999999996</v>
      </c>
      <c r="D9">
        <v>120</v>
      </c>
      <c r="J9">
        <v>8</v>
      </c>
      <c r="K9" t="s">
        <v>3</v>
      </c>
      <c r="L9">
        <v>0.33100000000000002</v>
      </c>
      <c r="M9">
        <v>10</v>
      </c>
      <c r="N9">
        <f t="shared" si="0"/>
        <v>3.3100000000000004E-2</v>
      </c>
    </row>
    <row r="10" spans="1:19" x14ac:dyDescent="0.3">
      <c r="A10">
        <v>3</v>
      </c>
      <c r="B10" t="s">
        <v>6</v>
      </c>
      <c r="C10">
        <v>2.7090000000000001</v>
      </c>
      <c r="D10">
        <v>120</v>
      </c>
      <c r="J10" s="2">
        <v>9</v>
      </c>
      <c r="K10" s="2" t="s">
        <v>3</v>
      </c>
      <c r="L10" s="2">
        <v>0.56000000000000005</v>
      </c>
      <c r="M10" s="2">
        <v>10</v>
      </c>
      <c r="N10" s="2">
        <f t="shared" si="0"/>
        <v>5.6000000000000008E-2</v>
      </c>
    </row>
    <row r="11" spans="1:19" x14ac:dyDescent="0.3">
      <c r="A11" s="2">
        <v>4</v>
      </c>
      <c r="B11" s="2" t="s">
        <v>4</v>
      </c>
      <c r="C11" s="2">
        <v>1.4260000000000002</v>
      </c>
      <c r="D11" s="2">
        <v>120</v>
      </c>
      <c r="E11" s="2">
        <f>AVERAGE(C11:C13)</f>
        <v>1.266</v>
      </c>
      <c r="F11" s="2">
        <f t="shared" si="1"/>
        <v>0.23624281294182603</v>
      </c>
      <c r="G11" s="2">
        <v>73</v>
      </c>
      <c r="H11" s="2">
        <f t="shared" si="2"/>
        <v>1.7342465753424657E-2</v>
      </c>
      <c r="J11">
        <v>10</v>
      </c>
      <c r="K11" t="s">
        <v>3</v>
      </c>
      <c r="L11">
        <v>7.6999999999999999E-2</v>
      </c>
      <c r="M11">
        <v>10</v>
      </c>
      <c r="N11">
        <f t="shared" si="0"/>
        <v>7.7000000000000002E-3</v>
      </c>
    </row>
    <row r="12" spans="1:19" x14ac:dyDescent="0.3">
      <c r="A12" s="2">
        <v>4</v>
      </c>
      <c r="B12" s="2" t="s">
        <v>5</v>
      </c>
      <c r="C12" s="2">
        <v>1.44</v>
      </c>
      <c r="D12" s="2">
        <v>120</v>
      </c>
      <c r="E12" s="2"/>
      <c r="F12" s="2"/>
      <c r="G12" s="2"/>
      <c r="H12" s="2"/>
    </row>
    <row r="13" spans="1:19" x14ac:dyDescent="0.3">
      <c r="A13" s="2">
        <v>4</v>
      </c>
      <c r="B13" s="2" t="s">
        <v>6</v>
      </c>
      <c r="C13" s="2">
        <v>0.93200000000000005</v>
      </c>
      <c r="D13" s="2">
        <v>120</v>
      </c>
      <c r="E13" s="2"/>
      <c r="F13" s="2"/>
      <c r="G13" s="2"/>
      <c r="H13" s="2"/>
    </row>
    <row r="14" spans="1:19" x14ac:dyDescent="0.3">
      <c r="A14">
        <v>5</v>
      </c>
      <c r="B14" t="s">
        <v>4</v>
      </c>
      <c r="C14">
        <v>4.5359999999999996</v>
      </c>
      <c r="D14">
        <v>120</v>
      </c>
      <c r="E14">
        <f>AVERAGE(C14:C16)</f>
        <v>3.8656666666666664</v>
      </c>
      <c r="F14">
        <f t="shared" si="1"/>
        <v>0.47648038318020358</v>
      </c>
      <c r="G14">
        <v>71</v>
      </c>
      <c r="H14">
        <f t="shared" si="2"/>
        <v>5.4446009389671354E-2</v>
      </c>
    </row>
    <row r="15" spans="1:19" x14ac:dyDescent="0.3">
      <c r="A15">
        <v>5</v>
      </c>
      <c r="B15" t="s">
        <v>5</v>
      </c>
      <c r="C15">
        <v>3.59</v>
      </c>
      <c r="D15">
        <v>120</v>
      </c>
    </row>
    <row r="16" spans="1:19" x14ac:dyDescent="0.3">
      <c r="A16">
        <v>5</v>
      </c>
      <c r="B16" t="s">
        <v>6</v>
      </c>
      <c r="C16">
        <v>3.4710000000000001</v>
      </c>
      <c r="D16">
        <v>120</v>
      </c>
    </row>
    <row r="17" spans="1:14" x14ac:dyDescent="0.3">
      <c r="A17" s="2">
        <v>6</v>
      </c>
      <c r="B17" s="2" t="s">
        <v>4</v>
      </c>
      <c r="C17" s="2">
        <v>0.66999999999999993</v>
      </c>
      <c r="D17" s="2">
        <v>120</v>
      </c>
      <c r="E17" s="2">
        <f>AVERAGE(C17:C19)</f>
        <v>1.3883333333333334</v>
      </c>
      <c r="F17" s="2">
        <f t="shared" si="1"/>
        <v>0.65500347751409349</v>
      </c>
      <c r="G17" s="2">
        <v>73</v>
      </c>
      <c r="H17" s="2">
        <f t="shared" si="2"/>
        <v>1.9018264840182649E-2</v>
      </c>
    </row>
    <row r="18" spans="1:14" x14ac:dyDescent="0.3">
      <c r="A18" s="2">
        <v>6</v>
      </c>
      <c r="B18" s="2" t="s">
        <v>5</v>
      </c>
      <c r="C18" s="2">
        <v>2.254</v>
      </c>
      <c r="D18" s="2">
        <v>120</v>
      </c>
      <c r="E18" s="2"/>
      <c r="F18" s="2"/>
      <c r="G18" s="2"/>
      <c r="H18" s="2"/>
    </row>
    <row r="19" spans="1:14" x14ac:dyDescent="0.3">
      <c r="A19" s="2">
        <v>6</v>
      </c>
      <c r="B19" s="2" t="s">
        <v>6</v>
      </c>
      <c r="C19" s="2">
        <v>1.2410000000000001</v>
      </c>
      <c r="D19" s="2">
        <v>120</v>
      </c>
      <c r="E19" s="2"/>
      <c r="F19" s="2"/>
      <c r="G19" s="2"/>
      <c r="H19" s="2"/>
    </row>
    <row r="20" spans="1:14" x14ac:dyDescent="0.3">
      <c r="A20">
        <v>7</v>
      </c>
      <c r="B20" t="s">
        <v>4</v>
      </c>
      <c r="C20">
        <v>2.7949999999999999</v>
      </c>
      <c r="D20">
        <v>120</v>
      </c>
      <c r="E20">
        <f>AVERAGE(C20:C22)</f>
        <v>2.8793333333333333</v>
      </c>
      <c r="F20">
        <f t="shared" si="1"/>
        <v>0.90623408798291272</v>
      </c>
      <c r="G20">
        <v>73</v>
      </c>
      <c r="H20">
        <f t="shared" si="2"/>
        <v>3.9442922374429222E-2</v>
      </c>
    </row>
    <row r="21" spans="1:14" x14ac:dyDescent="0.3">
      <c r="A21">
        <v>7</v>
      </c>
      <c r="B21" t="s">
        <v>5</v>
      </c>
      <c r="C21">
        <v>4.0289999999999999</v>
      </c>
      <c r="D21">
        <v>120</v>
      </c>
    </row>
    <row r="22" spans="1:14" x14ac:dyDescent="0.3">
      <c r="A22">
        <v>7</v>
      </c>
      <c r="B22" t="s">
        <v>6</v>
      </c>
      <c r="C22">
        <v>1.8140000000000001</v>
      </c>
      <c r="D22">
        <v>120</v>
      </c>
    </row>
    <row r="23" spans="1:14" x14ac:dyDescent="0.3">
      <c r="A23">
        <v>8</v>
      </c>
      <c r="B23" t="s">
        <v>4</v>
      </c>
      <c r="C23">
        <v>3.1519999999999992</v>
      </c>
      <c r="D23">
        <v>120</v>
      </c>
      <c r="E23">
        <f>AVERAGE(C23:C25)</f>
        <v>3.0559999999999996</v>
      </c>
      <c r="F23">
        <f t="shared" si="1"/>
        <v>9.5999999999999641E-2</v>
      </c>
      <c r="G23">
        <v>73</v>
      </c>
      <c r="H23">
        <f t="shared" si="2"/>
        <v>4.186301369863013E-2</v>
      </c>
      <c r="K23" t="s">
        <v>11</v>
      </c>
      <c r="L23" t="s">
        <v>14</v>
      </c>
      <c r="M23" t="s">
        <v>12</v>
      </c>
      <c r="N23" t="s">
        <v>13</v>
      </c>
    </row>
    <row r="24" spans="1:14" x14ac:dyDescent="0.3">
      <c r="A24">
        <v>8</v>
      </c>
      <c r="B24" t="s">
        <v>5</v>
      </c>
      <c r="C24">
        <v>2.96</v>
      </c>
      <c r="D24">
        <v>120</v>
      </c>
      <c r="K24" s="2">
        <f>AVERAGE(H2,H5,H11,H17,H26)</f>
        <v>1.7419178082191782E-2</v>
      </c>
      <c r="L24" s="2">
        <f>_xlfn.STDEV.P(H2,H5,H11,H17,H26)</f>
        <v>2.8257534777838887E-3</v>
      </c>
      <c r="M24" s="2">
        <f>AVERAGE(N2,N3,N5,N7,N10)</f>
        <v>3.0759999999999999E-2</v>
      </c>
      <c r="N24" s="2">
        <f>_xlfn.STDEV.P(N2,N3,N5,N7,N10)</f>
        <v>1.5136525360861394E-2</v>
      </c>
    </row>
    <row r="25" spans="1:14" x14ac:dyDescent="0.3">
      <c r="A25">
        <v>8</v>
      </c>
      <c r="B25" t="s">
        <v>6</v>
      </c>
      <c r="D25">
        <v>120</v>
      </c>
      <c r="K25">
        <f>AVERAGE(H8,H14,H20,H23,H29)</f>
        <v>4.0480481059875228E-2</v>
      </c>
      <c r="L25">
        <f>_xlfn.STDEV.P(H8,H14,H20,H23,H29)</f>
        <v>8.351869006767822E-3</v>
      </c>
      <c r="M25">
        <f>AVERAGE(N3,N4,N6,N8,N11)</f>
        <v>1.4280000000000001E-2</v>
      </c>
      <c r="N25">
        <f>_xlfn.STDEV.P(N4,N6,N8,N9,N11)</f>
        <v>1.191644242213254E-2</v>
      </c>
    </row>
    <row r="26" spans="1:14" x14ac:dyDescent="0.3">
      <c r="A26" s="2">
        <v>9</v>
      </c>
      <c r="B26" s="2" t="s">
        <v>4</v>
      </c>
      <c r="C26" s="2">
        <v>1.1470000000000002</v>
      </c>
      <c r="D26" s="2">
        <v>120</v>
      </c>
      <c r="E26" s="2">
        <f>AVERAGE(C26:C28)</f>
        <v>1.1719999999999999</v>
      </c>
      <c r="F26" s="2">
        <f t="shared" si="1"/>
        <v>0.47512173878561587</v>
      </c>
      <c r="G26" s="2">
        <v>73</v>
      </c>
      <c r="H26" s="2">
        <f t="shared" si="2"/>
        <v>1.6054794520547946E-2</v>
      </c>
    </row>
    <row r="27" spans="1:14" x14ac:dyDescent="0.3">
      <c r="A27" s="2">
        <v>9</v>
      </c>
      <c r="B27" s="2" t="s">
        <v>5</v>
      </c>
      <c r="C27" s="2">
        <v>1.766</v>
      </c>
      <c r="D27" s="2">
        <v>120</v>
      </c>
      <c r="E27" s="2"/>
      <c r="F27" s="2"/>
      <c r="G27" s="2"/>
      <c r="H27" s="2"/>
    </row>
    <row r="28" spans="1:14" x14ac:dyDescent="0.3">
      <c r="A28" s="2">
        <v>9</v>
      </c>
      <c r="B28" s="2" t="s">
        <v>6</v>
      </c>
      <c r="C28" s="2">
        <v>0.60299999999999998</v>
      </c>
      <c r="D28" s="2">
        <v>120</v>
      </c>
      <c r="E28" s="2"/>
      <c r="F28" s="2"/>
      <c r="G28" s="2"/>
      <c r="H28" s="2"/>
      <c r="N28" t="s">
        <v>15</v>
      </c>
    </row>
    <row r="29" spans="1:14" x14ac:dyDescent="0.3">
      <c r="A29">
        <v>10</v>
      </c>
      <c r="B29" t="s">
        <v>4</v>
      </c>
      <c r="C29">
        <v>3.4720000000000013</v>
      </c>
      <c r="D29">
        <v>120</v>
      </c>
      <c r="E29">
        <f>AVERAGE(C29:C31)</f>
        <v>2.7916666666666674</v>
      </c>
      <c r="F29">
        <f t="shared" si="1"/>
        <v>0.50126262799277332</v>
      </c>
      <c r="G29">
        <v>73</v>
      </c>
      <c r="H29">
        <f t="shared" si="2"/>
        <v>3.8242009132420103E-2</v>
      </c>
    </row>
    <row r="30" spans="1:14" x14ac:dyDescent="0.3">
      <c r="A30">
        <v>10</v>
      </c>
      <c r="B30" t="s">
        <v>5</v>
      </c>
      <c r="C30">
        <v>2.2789999999999999</v>
      </c>
      <c r="D30">
        <v>120</v>
      </c>
    </row>
    <row r="31" spans="1:14" x14ac:dyDescent="0.3">
      <c r="A31">
        <v>10</v>
      </c>
      <c r="B31" t="s">
        <v>6</v>
      </c>
      <c r="C31">
        <v>2.6240000000000001</v>
      </c>
      <c r="D31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Viviana Brambilla</dc:creator>
  <cp:lastModifiedBy>Viviana Brambilla</cp:lastModifiedBy>
  <dcterms:created xsi:type="dcterms:W3CDTF">2017-06-19T08:42:49Z</dcterms:created>
  <dcterms:modified xsi:type="dcterms:W3CDTF">2020-09-15T08:03:49Z</dcterms:modified>
</cp:coreProperties>
</file>